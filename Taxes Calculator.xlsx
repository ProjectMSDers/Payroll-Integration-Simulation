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311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Sheet1!$A$2:$O$40</definedName>
  </definedNames>
  <calcPr calcId="145621" iterate="1" iterateDelta="2"/>
</workbook>
</file>

<file path=xl/calcChain.xml><?xml version="1.0" encoding="utf-8"?>
<calcChain xmlns="http://schemas.openxmlformats.org/spreadsheetml/2006/main">
  <c r="H5" i="1" l="1"/>
  <c r="I5" i="1" s="1"/>
  <c r="J5" i="1" s="1"/>
  <c r="K5" i="1" s="1"/>
  <c r="L5" i="1" s="1"/>
  <c r="N58" i="1"/>
  <c r="M58" i="1" s="1"/>
  <c r="L57" i="1"/>
  <c r="K57" i="1"/>
  <c r="J57" i="1"/>
  <c r="I57" i="1"/>
  <c r="H57" i="1"/>
  <c r="G57" i="1" s="1"/>
  <c r="E21" i="1"/>
  <c r="E22" i="1"/>
  <c r="B25" i="1" s="1"/>
  <c r="F22" i="1" l="1"/>
  <c r="F57" i="1"/>
  <c r="E57" i="1" s="1"/>
  <c r="N23" i="1"/>
  <c r="L21" i="1"/>
  <c r="M23" i="1"/>
  <c r="F11" i="1"/>
  <c r="K17" i="1"/>
  <c r="G17" i="1"/>
  <c r="E17" i="1"/>
  <c r="C17" i="1"/>
  <c r="G16" i="1"/>
  <c r="E16" i="1"/>
  <c r="C16" i="1"/>
  <c r="G15" i="1"/>
  <c r="E15" i="1"/>
  <c r="C15" i="1"/>
  <c r="E14" i="1"/>
  <c r="C14" i="1"/>
  <c r="C13" i="1"/>
  <c r="E24" i="1"/>
  <c r="C23" i="1"/>
  <c r="D23" i="1"/>
  <c r="G22" i="1" l="1"/>
  <c r="B26" i="1"/>
  <c r="H11" i="1"/>
  <c r="B27" i="1" l="1"/>
  <c r="N22" i="1"/>
  <c r="J11" i="1"/>
  <c r="D7" i="1" l="1"/>
  <c r="E7" i="1" s="1"/>
  <c r="F46" i="1" s="1"/>
  <c r="B28" i="1"/>
  <c r="N45" i="1" l="1"/>
  <c r="D47" i="1"/>
  <c r="N46" i="1"/>
  <c r="F44" i="1"/>
  <c r="N47" i="1"/>
  <c r="L43" i="1"/>
  <c r="K44" i="1" s="1"/>
  <c r="N49" i="1"/>
  <c r="F43" i="1"/>
  <c r="F48" i="1" s="1"/>
  <c r="J44" i="1"/>
  <c r="D46" i="1"/>
  <c r="L46" i="1"/>
  <c r="J46" i="1"/>
  <c r="N48" i="1"/>
  <c r="F47" i="1"/>
  <c r="D45" i="1"/>
  <c r="F45" i="1"/>
  <c r="L44" i="1"/>
  <c r="H46" i="1"/>
  <c r="D44" i="1"/>
  <c r="N43" i="1"/>
  <c r="L45" i="1"/>
  <c r="H44" i="1"/>
  <c r="H48" i="1" s="1"/>
  <c r="J47" i="1"/>
  <c r="D43" i="1"/>
  <c r="C44" i="1" s="1"/>
  <c r="H43" i="1"/>
  <c r="G44" i="1" s="1"/>
  <c r="L47" i="1"/>
  <c r="J43" i="1"/>
  <c r="H45" i="1"/>
  <c r="N44" i="1"/>
  <c r="J45" i="1"/>
  <c r="H47" i="1"/>
  <c r="J48" i="1"/>
  <c r="I44" i="1"/>
  <c r="L48" i="1"/>
  <c r="M44" i="1"/>
  <c r="D57" i="1"/>
  <c r="G45" i="1" l="1"/>
  <c r="G46" i="1" s="1"/>
  <c r="H52" i="1"/>
  <c r="G52" i="1" s="1"/>
  <c r="M45" i="1"/>
  <c r="M46" i="1" s="1"/>
  <c r="E44" i="1"/>
  <c r="E45" i="1" s="1"/>
  <c r="K45" i="1"/>
  <c r="K46" i="1" s="1"/>
  <c r="G47" i="1"/>
  <c r="G48" i="1" s="1"/>
  <c r="I45" i="1"/>
  <c r="J53" i="1" s="1"/>
  <c r="I53" i="1" s="1"/>
  <c r="E46" i="1"/>
  <c r="E47" i="1" s="1"/>
  <c r="E48" i="1" s="1"/>
  <c r="D48" i="1"/>
  <c r="J52" i="1"/>
  <c r="I52" i="1" s="1"/>
  <c r="N52" i="1"/>
  <c r="M52" i="1" s="1"/>
  <c r="N53" i="1"/>
  <c r="M53" i="1" s="1"/>
  <c r="H53" i="1"/>
  <c r="G53" i="1" s="1"/>
  <c r="L52" i="1"/>
  <c r="K52" i="1" s="1"/>
  <c r="H54" i="1"/>
  <c r="G54" i="1" s="1"/>
  <c r="C57" i="1"/>
  <c r="I46" i="1" l="1"/>
  <c r="I47" i="1" s="1"/>
  <c r="M47" i="1"/>
  <c r="M48" i="1" s="1"/>
  <c r="M49" i="1" s="1"/>
  <c r="N54" i="1"/>
  <c r="M54" i="1" s="1"/>
  <c r="L53" i="1"/>
  <c r="K53" i="1" s="1"/>
  <c r="H55" i="1"/>
  <c r="G55" i="1" s="1"/>
  <c r="H56" i="1"/>
  <c r="G56" i="1" s="1"/>
  <c r="F52" i="1"/>
  <c r="C45" i="1"/>
  <c r="D52" i="1"/>
  <c r="J54" i="1" l="1"/>
  <c r="I54" i="1" s="1"/>
  <c r="G7" i="1"/>
  <c r="E52" i="1"/>
  <c r="N55" i="1"/>
  <c r="M55" i="1" s="1"/>
  <c r="I48" i="1"/>
  <c r="J56" i="1" s="1"/>
  <c r="I56" i="1" s="1"/>
  <c r="J55" i="1"/>
  <c r="I55" i="1" s="1"/>
  <c r="K47" i="1"/>
  <c r="L54" i="1"/>
  <c r="K54" i="1" s="1"/>
  <c r="C52" i="1"/>
  <c r="C46" i="1"/>
  <c r="D53" i="1"/>
  <c r="F53" i="1"/>
  <c r="H7" i="1" l="1"/>
  <c r="E53" i="1"/>
  <c r="N57" i="1"/>
  <c r="L7" i="1" s="1"/>
  <c r="N56" i="1"/>
  <c r="M56" i="1" s="1"/>
  <c r="K48" i="1"/>
  <c r="L56" i="1" s="1"/>
  <c r="K56" i="1" s="1"/>
  <c r="L55" i="1"/>
  <c r="K55" i="1" s="1"/>
  <c r="C53" i="1"/>
  <c r="F54" i="1"/>
  <c r="C47" i="1"/>
  <c r="D54" i="1"/>
  <c r="I7" i="1" l="1"/>
  <c r="M57" i="1"/>
  <c r="E54" i="1"/>
  <c r="C54" i="1"/>
  <c r="C48" i="1"/>
  <c r="D56" i="1" s="1"/>
  <c r="D55" i="1"/>
  <c r="J7" i="1" s="1"/>
  <c r="F56" i="1"/>
  <c r="F7" i="1" s="1"/>
  <c r="F55" i="1"/>
  <c r="K7" i="1" l="1"/>
  <c r="E55" i="1"/>
  <c r="E56" i="1"/>
  <c r="C55" i="1"/>
  <c r="C56" i="1"/>
</calcChain>
</file>

<file path=xl/comments1.xml><?xml version="1.0" encoding="utf-8"?>
<comments xmlns="http://schemas.openxmlformats.org/spreadsheetml/2006/main">
  <authors>
    <author>Safwan Zahran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Safwan Zahran:</t>
        </r>
        <r>
          <rPr>
            <sz val="9"/>
            <color indexed="81"/>
            <rFont val="Tahoma"/>
            <family val="2"/>
          </rPr>
          <t xml:space="preserve">
(equals Annual salary after insurance minus Exemption limit)
</t>
        </r>
      </text>
    </comment>
    <comment ref="M23" authorId="0">
      <text>
        <r>
          <rPr>
            <b/>
            <sz val="9"/>
            <color indexed="81"/>
            <rFont val="Tahoma"/>
            <family val="2"/>
          </rPr>
          <t>Safwan Zahran:</t>
        </r>
        <r>
          <rPr>
            <sz val="9"/>
            <color indexed="81"/>
            <rFont val="Tahoma"/>
            <family val="2"/>
          </rPr>
          <t xml:space="preserve">
Exeeds the Healthy exmption by 50%</t>
        </r>
      </text>
    </comment>
  </commentList>
</comments>
</file>

<file path=xl/sharedStrings.xml><?xml version="1.0" encoding="utf-8"?>
<sst xmlns="http://schemas.openxmlformats.org/spreadsheetml/2006/main" count="40" uniqueCount="29">
  <si>
    <t>Up to EGP 600k</t>
  </si>
  <si>
    <t>More than 
EGP600k Upto EGP700k</t>
  </si>
  <si>
    <t>Insurance</t>
  </si>
  <si>
    <t>Amount</t>
  </si>
  <si>
    <t>Taxes</t>
  </si>
  <si>
    <t>Disabled</t>
  </si>
  <si>
    <t>Min Monthly Salary</t>
  </si>
  <si>
    <t>Max Monthly Salary</t>
  </si>
  <si>
    <t>Healthy</t>
  </si>
  <si>
    <t>Healthy/
Disabled</t>
  </si>
  <si>
    <t>1st</t>
  </si>
  <si>
    <t>2nd</t>
  </si>
  <si>
    <t>3rd</t>
  </si>
  <si>
    <t>4th</t>
  </si>
  <si>
    <t>5th</t>
  </si>
  <si>
    <t>6th</t>
  </si>
  <si>
    <t>Annual Taxable Salary</t>
  </si>
  <si>
    <t>Annual  Salary after insurance</t>
  </si>
  <si>
    <t>%</t>
  </si>
  <si>
    <t>Monthly Gross Salary</t>
  </si>
  <si>
    <t>More than 
EGP700k Upto EGP800k</t>
  </si>
  <si>
    <t>More than 
EGP800k Upto EGP900k</t>
  </si>
  <si>
    <t>More than 
EGP900k Upto EGP1.2m</t>
  </si>
  <si>
    <t>More than 
1.2m</t>
  </si>
  <si>
    <t>Monthly  Salary after insurance</t>
  </si>
  <si>
    <t>Input Here&gt;&gt;&gt;</t>
  </si>
  <si>
    <t>Taxes Bracket</t>
  </si>
  <si>
    <t>Personal Exemption Limit</t>
  </si>
  <si>
    <t>Annual Salary after exemption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</si>
</sst>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EGP&quot;0.00"/>
    <numFmt numFmtId="165" formatCode="&quot;EGP&quot;#,##0"/>
    <numFmt numFmtId="166" formatCode="#,##0&quot; + &quot;"/>
  </numFmts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b/>
      <sz val="11"/>
      <color rgb="FF2A13D7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gradientFill degree="180">
        <stop position="0">
          <color theme="0"/>
        </stop>
        <stop position="1">
          <color rgb="FFFFFF00"/>
        </stop>
      </gradientFill>
    </fill>
    <fill>
      <gradientFill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>
        <stop position="0">
          <color rgb="FF00B0F0"/>
        </stop>
        <stop position="0.5">
          <color rgb="FF003DB8"/>
        </stop>
        <stop position="1">
          <color rgb="FF00B0F0"/>
        </stop>
      </gradientFill>
    </fill>
    <fill>
      <gradientFill degree="180">
        <stop position="0">
          <color theme="0"/>
        </stop>
        <stop position="1">
          <color theme="0" tint="-0.49803155613879818"/>
        </stop>
      </gradientFill>
    </fill>
    <fill>
      <gradientFill>
        <stop position="0">
          <color theme="1" tint="0.34900967436750391"/>
        </stop>
        <stop position="0.5">
          <color theme="1"/>
        </stop>
        <stop position="1">
          <color theme="1" tint="0.34900967436750391"/>
        </stop>
      </gradientFill>
    </fill>
    <fill>
      <gradientFill>
        <stop position="0">
          <color rgb="FF002060"/>
        </stop>
        <stop position="0.5">
          <color rgb="FF003DB8"/>
        </stop>
        <stop position="1">
          <color rgb="FF002060"/>
        </stop>
      </gradient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3" fontId="0" fillId="6" borderId="1" xfId="0" applyNumberFormat="1" applyFill="1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3" fontId="0" fillId="5" borderId="1" xfId="0" applyNumberFormat="1" applyFill="1" applyBorder="1" applyAlignment="1">
      <alignment horizontal="right"/>
    </xf>
    <xf numFmtId="0" fontId="6" fillId="0" borderId="0" xfId="0" applyFont="1"/>
    <xf numFmtId="3" fontId="0" fillId="7" borderId="4" xfId="0" applyNumberFormat="1" applyFill="1" applyBorder="1" applyAlignment="1">
      <alignment horizontal="left"/>
    </xf>
    <xf numFmtId="0" fontId="0" fillId="7" borderId="4" xfId="0" applyFill="1" applyBorder="1"/>
    <xf numFmtId="3" fontId="0" fillId="7" borderId="4" xfId="0" applyNumberFormat="1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6" borderId="4" xfId="0" applyFill="1" applyBorder="1" applyAlignment="1">
      <alignment horizontal="left"/>
    </xf>
    <xf numFmtId="3" fontId="0" fillId="2" borderId="4" xfId="0" applyNumberFormat="1" applyFill="1" applyBorder="1" applyAlignment="1">
      <alignment horizontal="left"/>
    </xf>
    <xf numFmtId="0" fontId="0" fillId="5" borderId="4" xfId="0" applyFill="1" applyBorder="1"/>
    <xf numFmtId="0" fontId="0" fillId="0" borderId="4" xfId="0" quotePrefix="1" applyBorder="1" applyAlignment="1">
      <alignment horizontal="center" vertical="center"/>
    </xf>
    <xf numFmtId="0" fontId="0" fillId="2" borderId="4" xfId="0" applyFill="1" applyBorder="1" applyAlignment="1">
      <alignment horizontal="center" vertical="top" wrapText="1"/>
    </xf>
    <xf numFmtId="0" fontId="0" fillId="2" borderId="4" xfId="0" applyFill="1" applyBorder="1"/>
    <xf numFmtId="165" fontId="0" fillId="2" borderId="4" xfId="0" applyNumberFormat="1" applyFill="1" applyBorder="1"/>
    <xf numFmtId="0" fontId="0" fillId="0" borderId="6" xfId="0" applyBorder="1"/>
    <xf numFmtId="0" fontId="1" fillId="5" borderId="1" xfId="0" applyFont="1" applyFill="1" applyBorder="1" applyAlignment="1">
      <alignment horizontal="center"/>
    </xf>
    <xf numFmtId="0" fontId="0" fillId="0" borderId="5" xfId="0" applyBorder="1"/>
    <xf numFmtId="3" fontId="0" fillId="5" borderId="3" xfId="0" applyNumberFormat="1" applyFill="1" applyBorder="1" applyAlignment="1">
      <alignment horizontal="right"/>
    </xf>
    <xf numFmtId="3" fontId="0" fillId="6" borderId="9" xfId="0" applyNumberFormat="1" applyFill="1" applyBorder="1" applyAlignment="1">
      <alignment horizontal="right"/>
    </xf>
    <xf numFmtId="0" fontId="0" fillId="5" borderId="7" xfId="0" applyFill="1" applyBorder="1"/>
    <xf numFmtId="3" fontId="0" fillId="5" borderId="2" xfId="0" applyNumberFormat="1" applyFill="1" applyBorder="1" applyAlignment="1">
      <alignment horizontal="right"/>
    </xf>
    <xf numFmtId="166" fontId="0" fillId="7" borderId="4" xfId="0" applyNumberFormat="1" applyFill="1" applyBorder="1" applyAlignment="1">
      <alignment horizontal="right"/>
    </xf>
    <xf numFmtId="2" fontId="0" fillId="7" borderId="4" xfId="0" applyNumberFormat="1" applyFill="1" applyBorder="1" applyAlignment="1">
      <alignment horizontal="right"/>
    </xf>
    <xf numFmtId="0" fontId="0" fillId="5" borderId="6" xfId="0" applyFill="1" applyBorder="1"/>
    <xf numFmtId="3" fontId="9" fillId="5" borderId="2" xfId="0" applyNumberFormat="1" applyFont="1" applyFill="1" applyBorder="1" applyAlignment="1">
      <alignment horizontal="center"/>
    </xf>
    <xf numFmtId="3" fontId="0" fillId="2" borderId="2" xfId="0" applyNumberFormat="1" applyFill="1" applyBorder="1" applyAlignment="1">
      <alignment horizontal="right"/>
    </xf>
    <xf numFmtId="0" fontId="0" fillId="0" borderId="8" xfId="0" applyBorder="1"/>
    <xf numFmtId="3" fontId="7" fillId="7" borderId="4" xfId="0" quotePrefix="1" applyNumberFormat="1" applyFon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0" fillId="7" borderId="4" xfId="0" applyFill="1" applyBorder="1" applyAlignment="1">
      <alignment horizontal="left" vertical="center"/>
    </xf>
    <xf numFmtId="3" fontId="0" fillId="7" borderId="4" xfId="0" applyNumberFormat="1" applyFill="1" applyBorder="1" applyAlignment="1">
      <alignment horizontal="left" vertical="center"/>
    </xf>
    <xf numFmtId="0" fontId="0" fillId="2" borderId="4" xfId="0" applyFill="1" applyBorder="1" applyAlignment="1">
      <alignment horizontal="left"/>
    </xf>
    <xf numFmtId="0" fontId="15" fillId="0" borderId="4" xfId="0" applyFont="1" applyBorder="1" applyAlignment="1">
      <alignment horizontal="center" vertical="center"/>
    </xf>
    <xf numFmtId="0" fontId="0" fillId="0" borderId="11" xfId="0" applyBorder="1"/>
    <xf numFmtId="0" fontId="2" fillId="0" borderId="11" xfId="0" quotePrefix="1" applyFont="1" applyBorder="1" applyAlignment="1">
      <alignment horizontal="center" vertical="center"/>
    </xf>
    <xf numFmtId="0" fontId="0" fillId="0" borderId="7" xfId="0" applyBorder="1"/>
    <xf numFmtId="0" fontId="0" fillId="0" borderId="3" xfId="0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12" xfId="0" applyBorder="1"/>
    <xf numFmtId="0" fontId="0" fillId="2" borderId="4" xfId="0" quotePrefix="1" applyFill="1" applyBorder="1" applyAlignment="1">
      <alignment horizontal="center" vertical="top" wrapText="1"/>
    </xf>
    <xf numFmtId="0" fontId="0" fillId="0" borderId="9" xfId="0" applyBorder="1"/>
    <xf numFmtId="164" fontId="0" fillId="2" borderId="4" xfId="0" applyNumberForma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165" fontId="0" fillId="0" borderId="4" xfId="0" applyNumberFormat="1" applyBorder="1" applyAlignment="1">
      <alignment horizontal="center" vertical="top"/>
    </xf>
    <xf numFmtId="3" fontId="0" fillId="6" borderId="13" xfId="0" applyNumberFormat="1" applyFill="1" applyBorder="1" applyAlignment="1">
      <alignment horizontal="right"/>
    </xf>
    <xf numFmtId="3" fontId="0" fillId="2" borderId="13" xfId="0" applyNumberFormat="1" applyFill="1" applyBorder="1" applyAlignment="1">
      <alignment horizontal="right"/>
    </xf>
    <xf numFmtId="0" fontId="0" fillId="5" borderId="14" xfId="0" applyFill="1" applyBorder="1"/>
    <xf numFmtId="3" fontId="0" fillId="6" borderId="15" xfId="0" applyNumberFormat="1" applyFill="1" applyBorder="1" applyAlignment="1">
      <alignment horizontal="right"/>
    </xf>
    <xf numFmtId="3" fontId="0" fillId="2" borderId="16" xfId="0" applyNumberFormat="1" applyFill="1" applyBorder="1" applyAlignment="1">
      <alignment horizontal="right"/>
    </xf>
    <xf numFmtId="165" fontId="14" fillId="4" borderId="11" xfId="0" applyNumberFormat="1" applyFont="1" applyFill="1" applyBorder="1" applyAlignment="1">
      <alignment horizontal="center"/>
    </xf>
    <xf numFmtId="0" fontId="16" fillId="0" borderId="0" xfId="0" applyFont="1"/>
    <xf numFmtId="0" fontId="16" fillId="6" borderId="4" xfId="0" applyFont="1" applyFill="1" applyBorder="1" applyAlignment="1">
      <alignment horizontal="left"/>
    </xf>
    <xf numFmtId="3" fontId="16" fillId="2" borderId="4" xfId="0" applyNumberFormat="1" applyFont="1" applyFill="1" applyBorder="1" applyAlignment="1">
      <alignment horizontal="left"/>
    </xf>
    <xf numFmtId="0" fontId="16" fillId="0" borderId="3" xfId="0" applyFont="1" applyBorder="1" applyAlignment="1">
      <alignment horizontal="center"/>
    </xf>
    <xf numFmtId="3" fontId="17" fillId="6" borderId="1" xfId="0" applyNumberFormat="1" applyFont="1" applyFill="1" applyBorder="1"/>
    <xf numFmtId="3" fontId="17" fillId="6" borderId="1" xfId="0" applyNumberFormat="1" applyFont="1" applyFill="1" applyBorder="1" applyAlignment="1">
      <alignment horizontal="right"/>
    </xf>
    <xf numFmtId="0" fontId="17" fillId="3" borderId="1" xfId="0" applyFont="1" applyFill="1" applyBorder="1"/>
    <xf numFmtId="3" fontId="17" fillId="3" borderId="1" xfId="0" applyNumberFormat="1" applyFont="1" applyFill="1" applyBorder="1" applyAlignment="1">
      <alignment horizontal="right"/>
    </xf>
    <xf numFmtId="0" fontId="17" fillId="6" borderId="1" xfId="0" applyFont="1" applyFill="1" applyBorder="1"/>
    <xf numFmtId="10" fontId="16" fillId="2" borderId="3" xfId="0" applyNumberFormat="1" applyFont="1" applyFill="1" applyBorder="1" applyAlignment="1">
      <alignment horizontal="center"/>
    </xf>
    <xf numFmtId="3" fontId="17" fillId="2" borderId="1" xfId="0" applyNumberFormat="1" applyFont="1" applyFill="1" applyBorder="1"/>
    <xf numFmtId="3" fontId="17" fillId="2" borderId="1" xfId="0" applyNumberFormat="1" applyFont="1" applyFill="1" applyBorder="1" applyAlignment="1">
      <alignment horizontal="right"/>
    </xf>
    <xf numFmtId="0" fontId="17" fillId="2" borderId="1" xfId="0" applyFont="1" applyFill="1" applyBorder="1"/>
    <xf numFmtId="10" fontId="16" fillId="0" borderId="3" xfId="0" applyNumberFormat="1" applyFont="1" applyBorder="1" applyAlignment="1">
      <alignment horizontal="center"/>
    </xf>
    <xf numFmtId="0" fontId="16" fillId="7" borderId="0" xfId="0" applyFont="1" applyFill="1"/>
    <xf numFmtId="3" fontId="18" fillId="6" borderId="1" xfId="0" applyNumberFormat="1" applyFont="1" applyFill="1" applyBorder="1" applyAlignment="1">
      <alignment horizontal="right"/>
    </xf>
    <xf numFmtId="0" fontId="13" fillId="4" borderId="4" xfId="0" applyFont="1" applyFill="1" applyBorder="1" applyAlignment="1">
      <alignment horizontal="center" vertical="center"/>
    </xf>
    <xf numFmtId="3" fontId="8" fillId="6" borderId="9" xfId="0" applyNumberFormat="1" applyFont="1" applyFill="1" applyBorder="1" applyAlignment="1">
      <alignment horizontal="right"/>
    </xf>
    <xf numFmtId="0" fontId="19" fillId="0" borderId="4" xfId="0" applyFont="1" applyBorder="1" applyAlignment="1">
      <alignment horizontal="center" vertical="center"/>
    </xf>
    <xf numFmtId="0" fontId="20" fillId="8" borderId="4" xfId="0" applyFont="1" applyFill="1" applyBorder="1" applyAlignment="1">
      <alignment horizontal="left"/>
    </xf>
    <xf numFmtId="166" fontId="0" fillId="7" borderId="5" xfId="0" applyNumberFormat="1" applyFill="1" applyBorder="1" applyAlignment="1">
      <alignment horizontal="center" vertical="center"/>
    </xf>
    <xf numFmtId="10" fontId="3" fillId="9" borderId="4" xfId="0" applyNumberFormat="1" applyFont="1" applyFill="1" applyBorder="1" applyAlignment="1">
      <alignment horizontal="center" vertical="center"/>
    </xf>
    <xf numFmtId="10" fontId="3" fillId="10" borderId="4" xfId="0" applyNumberFormat="1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right" vertical="center"/>
    </xf>
    <xf numFmtId="3" fontId="11" fillId="12" borderId="8" xfId="0" applyNumberFormat="1" applyFont="1" applyFill="1" applyBorder="1" applyAlignment="1">
      <alignment horizontal="center" vertical="center"/>
    </xf>
    <xf numFmtId="165" fontId="12" fillId="12" borderId="4" xfId="0" quotePrefix="1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top" wrapText="1"/>
    </xf>
    <xf numFmtId="0" fontId="3" fillId="13" borderId="5" xfId="0" applyFont="1" applyFill="1" applyBorder="1" applyAlignment="1">
      <alignment horizontal="center" vertical="center" wrapText="1"/>
    </xf>
    <xf numFmtId="165" fontId="3" fillId="13" borderId="4" xfId="0" applyNumberFormat="1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3" fontId="0" fillId="7" borderId="11" xfId="0" applyNumberFormat="1" applyFill="1" applyBorder="1" applyAlignment="1">
      <alignment horizontal="left" vertical="center"/>
    </xf>
    <xf numFmtId="0" fontId="0" fillId="7" borderId="11" xfId="0" applyFill="1" applyBorder="1" applyAlignment="1">
      <alignment horizontal="left" vertical="center"/>
    </xf>
    <xf numFmtId="0" fontId="0" fillId="7" borderId="5" xfId="0" applyFill="1" applyBorder="1" applyAlignment="1">
      <alignment horizontal="left"/>
    </xf>
    <xf numFmtId="0" fontId="0" fillId="7" borderId="5" xfId="0" applyFill="1" applyBorder="1"/>
    <xf numFmtId="3" fontId="0" fillId="7" borderId="5" xfId="0" applyNumberFormat="1" applyFill="1" applyBorder="1" applyAlignment="1">
      <alignment horizontal="left"/>
    </xf>
    <xf numFmtId="0" fontId="0" fillId="0" borderId="4" xfId="0" quotePrefix="1" applyBorder="1" applyAlignment="1">
      <alignment horizontal="left"/>
    </xf>
    <xf numFmtId="165" fontId="0" fillId="0" borderId="4" xfId="0" quotePrefix="1" applyNumberFormat="1" applyBorder="1" applyAlignment="1">
      <alignment horizontal="left" wrapText="1"/>
    </xf>
    <xf numFmtId="165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2" fillId="11" borderId="6" xfId="0" applyFont="1" applyFill="1" applyBorder="1" applyAlignment="1">
      <alignment horizontal="right" vertical="center"/>
    </xf>
    <xf numFmtId="0" fontId="2" fillId="11" borderId="11" xfId="0" applyFont="1" applyFill="1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ill>
        <gradientFill degree="180">
          <stop position="0">
            <color rgb="FFDFDA00"/>
          </stop>
          <stop position="1">
            <color theme="0" tint="-0.49803155613879818"/>
          </stop>
        </gradient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numFmt numFmtId="1" formatCode="0"/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rgb="FF002060"/>
      </font>
      <fill>
        <gradientFill>
          <stop position="0">
            <color theme="0" tint="-0.34900967436750391"/>
          </stop>
          <stop position="0.5">
            <color rgb="FFFFFF00"/>
          </stop>
          <stop position="1">
            <color theme="0" tint="-0.34900967436750391"/>
          </stop>
        </gradientFill>
      </fill>
    </dxf>
    <dxf>
      <numFmt numFmtId="1" formatCode="0"/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numFmt numFmtId="1" formatCode="0"/>
    </dxf>
    <dxf>
      <font>
        <color theme="0" tint="-0.14996795556505021"/>
      </font>
    </dxf>
    <dxf>
      <font>
        <color theme="9"/>
      </font>
      <fill>
        <patternFill>
          <bgColor rgb="FFFFFF00"/>
        </patternFill>
      </fill>
    </dxf>
    <dxf>
      <font>
        <color theme="9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DFDA00"/>
      <color rgb="FF003DB8"/>
      <color rgb="FF0038A8"/>
      <color rgb="FF2A13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380998</xdr:colOff>
      <xdr:row>1</xdr:row>
      <xdr:rowOff>173935</xdr:rowOff>
    </xdr:from>
    <xdr:to>
      <xdr:col>13</xdr:col>
      <xdr:colOff>926463</xdr:colOff>
      <xdr:row>3</xdr:row>
      <xdr:rowOff>147900</xdr:rowOff>
    </xdr:to>
    <xdr:pic>
      <xdr:nvPicPr>
        <xdr:cNvPr id="2" name="Picture 1" descr="https://media-hbe1-1.cdn.whatsapp.net/v/t61.24694-24/315790527_152034147649759_5587020995146034911_n.jpg?ccb=11-4&amp;oh=01_Q5Aa2QE7dlSTwbCGXwNNxu_6I2NTKhaMFR6bDQHTZLzbrwmsXQ&amp;oe=68A8E099&amp;_nc_sid=5e03e0&amp;_nc_cat=10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73237" y="364435"/>
          <a:ext cx="545465" cy="5454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Z58"/>
  <sheetViews>
    <sheetView tabSelected="1" view="pageBreakPreview" zoomScale="115" zoomScaleNormal="115" zoomScaleSheetLayoutView="115" workbookViewId="0">
      <selection activeCell="C4" sqref="C4"/>
    </sheetView>
  </sheetViews>
  <sheetFormatPr defaultRowHeight="15" x14ac:dyDescent="0.25"/>
  <cols>
    <col min="1" max="1" width="2.7109375" style="8" customWidth="1"/>
    <col min="2" max="2" width="11.85546875" bestFit="1" customWidth="1"/>
    <col min="3" max="3" width="13.42578125" bestFit="1" customWidth="1"/>
    <col min="4" max="4" width="14.7109375" bestFit="1" customWidth="1"/>
    <col min="5" max="5" width="16" customWidth="1"/>
    <col min="6" max="6" width="14.7109375" customWidth="1"/>
    <col min="7" max="7" width="15.5703125" customWidth="1"/>
    <col min="8" max="8" width="9.140625" bestFit="1" customWidth="1"/>
    <col min="9" max="9" width="12" bestFit="1" customWidth="1"/>
    <col min="10" max="10" width="10.28515625" bestFit="1" customWidth="1"/>
    <col min="11" max="11" width="12.85546875" bestFit="1" customWidth="1"/>
    <col min="12" max="12" width="15.28515625" customWidth="1"/>
    <col min="13" max="13" width="16.85546875" bestFit="1" customWidth="1"/>
    <col min="14" max="14" width="14.7109375" bestFit="1" customWidth="1"/>
    <col min="15" max="15" width="2.7109375" style="8" customWidth="1"/>
    <col min="16" max="16" width="11.7109375" bestFit="1" customWidth="1"/>
  </cols>
  <sheetData>
    <row r="2" spans="1:15" x14ac:dyDescent="0.25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5" ht="30" x14ac:dyDescent="0.25">
      <c r="B3" s="8"/>
      <c r="C3" s="80" t="s">
        <v>19</v>
      </c>
      <c r="D3" s="80" t="s">
        <v>9</v>
      </c>
      <c r="E3" s="8"/>
      <c r="F3" s="8"/>
      <c r="G3" s="8"/>
      <c r="H3" s="8"/>
      <c r="I3" s="8"/>
      <c r="J3" s="8"/>
      <c r="K3" s="8"/>
      <c r="L3" s="8"/>
      <c r="M3" s="8"/>
      <c r="N3" s="8"/>
    </row>
    <row r="4" spans="1:15" x14ac:dyDescent="0.25">
      <c r="B4" s="72" t="s">
        <v>25</v>
      </c>
      <c r="C4" s="52">
        <v>65000</v>
      </c>
      <c r="D4" s="69" t="s">
        <v>8</v>
      </c>
      <c r="E4" s="8"/>
      <c r="F4" s="8"/>
      <c r="G4" s="8"/>
      <c r="H4" s="8"/>
      <c r="I4" s="8"/>
      <c r="J4" s="8"/>
      <c r="K4" s="8"/>
      <c r="L4" s="8"/>
      <c r="M4" s="8"/>
      <c r="N4" s="8"/>
    </row>
    <row r="5" spans="1:15" s="8" customFormat="1" ht="9.75" customHeight="1" x14ac:dyDescent="0.25">
      <c r="G5" s="71">
        <v>11</v>
      </c>
      <c r="H5" s="71">
        <f>G5+1</f>
        <v>12</v>
      </c>
      <c r="I5" s="71">
        <f>H5+1</f>
        <v>13</v>
      </c>
      <c r="J5" s="71">
        <f>I5+1</f>
        <v>14</v>
      </c>
      <c r="K5" s="71">
        <f>J5+1</f>
        <v>15</v>
      </c>
      <c r="L5" s="71">
        <f>K5+1</f>
        <v>16</v>
      </c>
    </row>
    <row r="6" spans="1:15" ht="30" x14ac:dyDescent="0.25">
      <c r="A6" s="19"/>
      <c r="B6" s="8"/>
      <c r="C6" s="8"/>
      <c r="D6" s="80" t="s">
        <v>16</v>
      </c>
      <c r="E6" s="80" t="s">
        <v>26</v>
      </c>
      <c r="F6" s="77" t="s">
        <v>4</v>
      </c>
      <c r="G6" s="75">
        <v>0.1</v>
      </c>
      <c r="H6" s="75">
        <v>0.15</v>
      </c>
      <c r="I6" s="75">
        <v>0.2</v>
      </c>
      <c r="J6" s="75">
        <v>0.22500000000000001</v>
      </c>
      <c r="K6" s="75">
        <v>0.25</v>
      </c>
      <c r="L6" s="75">
        <v>0.27500000000000002</v>
      </c>
      <c r="M6" s="74"/>
      <c r="N6" s="43"/>
      <c r="O6" s="19"/>
    </row>
    <row r="7" spans="1:15" ht="26.25" customHeight="1" x14ac:dyDescent="0.25">
      <c r="B7" s="8"/>
      <c r="C7" s="8"/>
      <c r="D7" s="81">
        <f>SUM(N22:N23)</f>
        <v>740860</v>
      </c>
      <c r="E7" s="82" t="str">
        <f>IF( AND($D$7&gt;M11,$D$7&lt;=N11),"6th",
IF(AND($D$7&gt;K11,$D$7&lt;=L11),"5th",
IF(AND($D$7&gt;I11,$D$7&lt;=J11),"4th",
IF(AND($D$7&gt;G11,$D$7&lt;=H11),"3rd",
IF(AND($D$7&gt;E11,$D$7&lt;=F11),"2nd",
IF(AND($D$7&gt;C11,$D$7&lt;=E11),"1st",
"Wrong Tranche"))))))</f>
        <v>3rd</v>
      </c>
      <c r="F7" s="78">
        <f>IFERROR(HLOOKUP($E$7,$C$42:$N$58,G5,FALSE)*G6+
HLOOKUP($E$7,$C$42:$N$58,H5,FALSE)*H6+
HLOOKUP($E$7,$C$42:$N$58,I5,FALSE)*I6+
HLOOKUP($E$7,$C$42:$N$58,J5,FALSE)*J6+
HLOOKUP($E$7,$C$42:$N$58,K5,FALSE)*K6+
HLOOKUP($E$7,$C$42:$N$58,L5,FALSE)*L6,"No Taxes")</f>
        <v>166715</v>
      </c>
      <c r="G7" s="73">
        <f t="shared" ref="G7:L7" si="0">IFERROR(HLOOKUP($E$7,$C$42:$N$58,G5,FALSE),"No Taxes")</f>
        <v>0</v>
      </c>
      <c r="H7" s="73">
        <f t="shared" si="0"/>
        <v>70000</v>
      </c>
      <c r="I7" s="73">
        <f t="shared" si="0"/>
        <v>130000</v>
      </c>
      <c r="J7" s="73">
        <f t="shared" si="0"/>
        <v>200000</v>
      </c>
      <c r="K7" s="73">
        <f t="shared" si="0"/>
        <v>340860</v>
      </c>
      <c r="L7" s="73">
        <f t="shared" si="0"/>
        <v>0</v>
      </c>
      <c r="N7" s="17"/>
    </row>
    <row r="8" spans="1:15" ht="6" customHeight="1" x14ac:dyDescent="0.25">
      <c r="B8" s="36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17"/>
    </row>
    <row r="9" spans="1:15" x14ac:dyDescent="0.25">
      <c r="B9" s="8"/>
      <c r="C9" s="10" t="s">
        <v>10</v>
      </c>
      <c r="D9" s="12"/>
      <c r="E9" s="34" t="s">
        <v>11</v>
      </c>
      <c r="F9" s="12"/>
      <c r="G9" s="10" t="s">
        <v>12</v>
      </c>
      <c r="H9" s="12"/>
      <c r="I9" s="11" t="s">
        <v>13</v>
      </c>
      <c r="J9" s="12"/>
      <c r="K9" s="10" t="s">
        <v>14</v>
      </c>
      <c r="L9" s="12"/>
      <c r="M9" s="11" t="s">
        <v>15</v>
      </c>
      <c r="N9" s="26"/>
    </row>
    <row r="10" spans="1:15" ht="45" customHeight="1" x14ac:dyDescent="0.25">
      <c r="B10" s="37" t="s">
        <v>18</v>
      </c>
      <c r="C10" s="96" t="s">
        <v>0</v>
      </c>
      <c r="D10" s="96"/>
      <c r="E10" s="95" t="s">
        <v>1</v>
      </c>
      <c r="F10" s="95"/>
      <c r="G10" s="96" t="s">
        <v>20</v>
      </c>
      <c r="H10" s="96"/>
      <c r="I10" s="95" t="s">
        <v>21</v>
      </c>
      <c r="J10" s="95"/>
      <c r="K10" s="96" t="s">
        <v>22</v>
      </c>
      <c r="L10" s="96"/>
      <c r="M10" s="95" t="s">
        <v>23</v>
      </c>
      <c r="N10" s="95"/>
    </row>
    <row r="11" spans="1:15" x14ac:dyDescent="0.25">
      <c r="B11" s="38"/>
      <c r="C11" s="18">
        <v>1</v>
      </c>
      <c r="D11" s="18">
        <v>600000</v>
      </c>
      <c r="E11" s="18">
        <v>600000</v>
      </c>
      <c r="F11" s="18">
        <f>D11+100000</f>
        <v>700000</v>
      </c>
      <c r="G11" s="18">
        <v>700000</v>
      </c>
      <c r="H11" s="18">
        <f>F11+100000</f>
        <v>800000</v>
      </c>
      <c r="I11" s="18">
        <v>800000</v>
      </c>
      <c r="J11" s="18">
        <f>H11+100000</f>
        <v>900000</v>
      </c>
      <c r="K11" s="18">
        <v>900000</v>
      </c>
      <c r="L11" s="18">
        <v>1200000</v>
      </c>
      <c r="M11" s="18">
        <v>1200000</v>
      </c>
      <c r="N11" s="27">
        <v>999999999999</v>
      </c>
    </row>
    <row r="12" spans="1:15" x14ac:dyDescent="0.25">
      <c r="B12" s="39">
        <v>0</v>
      </c>
      <c r="C12" s="1">
        <v>0</v>
      </c>
      <c r="D12" s="50">
        <v>40000</v>
      </c>
      <c r="E12" s="20"/>
      <c r="F12" s="3"/>
      <c r="G12" s="3"/>
      <c r="H12" s="3"/>
      <c r="I12" s="3"/>
      <c r="J12" s="3"/>
      <c r="K12" s="3"/>
      <c r="L12" s="3"/>
      <c r="M12" s="3"/>
      <c r="N12" s="23"/>
    </row>
    <row r="13" spans="1:15" x14ac:dyDescent="0.25">
      <c r="B13" s="40">
        <v>0.1</v>
      </c>
      <c r="C13" s="28">
        <f>D12</f>
        <v>40000</v>
      </c>
      <c r="D13" s="28">
        <v>55000</v>
      </c>
      <c r="E13" s="28">
        <v>0</v>
      </c>
      <c r="F13" s="48">
        <v>55000</v>
      </c>
      <c r="G13" s="20"/>
      <c r="H13" s="3"/>
      <c r="I13" s="3"/>
      <c r="J13" s="3"/>
      <c r="K13" s="3"/>
      <c r="L13" s="3"/>
      <c r="M13" s="3"/>
      <c r="N13" s="23"/>
    </row>
    <row r="14" spans="1:15" x14ac:dyDescent="0.25">
      <c r="B14" s="40">
        <v>0.15</v>
      </c>
      <c r="C14" s="1">
        <f>D13</f>
        <v>55000</v>
      </c>
      <c r="D14" s="1">
        <v>70000</v>
      </c>
      <c r="E14" s="1">
        <f>F13</f>
        <v>55000</v>
      </c>
      <c r="F14" s="1">
        <v>70000</v>
      </c>
      <c r="G14" s="1">
        <v>0</v>
      </c>
      <c r="H14" s="1">
        <v>70000</v>
      </c>
      <c r="I14" s="20"/>
      <c r="J14" s="3"/>
      <c r="K14" s="3"/>
      <c r="L14" s="3"/>
      <c r="M14" s="3"/>
      <c r="N14" s="23"/>
    </row>
    <row r="15" spans="1:15" x14ac:dyDescent="0.25">
      <c r="B15" s="40">
        <v>0.2</v>
      </c>
      <c r="C15" s="28">
        <f>D14</f>
        <v>70000</v>
      </c>
      <c r="D15" s="28">
        <v>200000</v>
      </c>
      <c r="E15" s="28">
        <f>F14</f>
        <v>70000</v>
      </c>
      <c r="F15" s="28">
        <v>200000</v>
      </c>
      <c r="G15" s="28">
        <f>H14</f>
        <v>70000</v>
      </c>
      <c r="H15" s="28">
        <v>200000</v>
      </c>
      <c r="I15" s="28">
        <v>0</v>
      </c>
      <c r="J15" s="28">
        <v>200000</v>
      </c>
      <c r="K15" s="20"/>
      <c r="L15" s="3"/>
      <c r="M15" s="3"/>
      <c r="N15" s="23"/>
    </row>
    <row r="16" spans="1:15" x14ac:dyDescent="0.25">
      <c r="B16" s="40">
        <v>0.22500000000000001</v>
      </c>
      <c r="C16" s="1">
        <f>D15</f>
        <v>200000</v>
      </c>
      <c r="D16" s="1">
        <v>400000</v>
      </c>
      <c r="E16" s="1">
        <f>F15</f>
        <v>200000</v>
      </c>
      <c r="F16" s="1">
        <v>400000</v>
      </c>
      <c r="G16" s="1">
        <f>H15</f>
        <v>200000</v>
      </c>
      <c r="H16" s="1">
        <v>400000</v>
      </c>
      <c r="I16" s="1">
        <v>200000</v>
      </c>
      <c r="J16" s="1">
        <v>400000</v>
      </c>
      <c r="K16" s="47">
        <v>0</v>
      </c>
      <c r="L16" s="21">
        <v>400000</v>
      </c>
      <c r="M16" s="3"/>
      <c r="N16" s="23"/>
    </row>
    <row r="17" spans="1:18" x14ac:dyDescent="0.25">
      <c r="B17" s="40">
        <v>0.25</v>
      </c>
      <c r="C17" s="48">
        <f>D16</f>
        <v>400000</v>
      </c>
      <c r="D17" s="18"/>
      <c r="E17" s="48">
        <f>F16</f>
        <v>400000</v>
      </c>
      <c r="F17" s="49"/>
      <c r="G17" s="48">
        <f>H16</f>
        <v>400000</v>
      </c>
      <c r="H17" s="49"/>
      <c r="I17" s="51">
        <v>400000</v>
      </c>
      <c r="J17" s="49"/>
      <c r="K17" s="48">
        <f>L16</f>
        <v>400000</v>
      </c>
      <c r="L17" s="22"/>
      <c r="M17" s="2">
        <v>0</v>
      </c>
      <c r="N17" s="28">
        <v>1200000</v>
      </c>
    </row>
    <row r="18" spans="1:18" x14ac:dyDescent="0.25">
      <c r="B18" s="40">
        <v>0.27500000000000002</v>
      </c>
      <c r="C18" s="20"/>
      <c r="D18" s="3"/>
      <c r="E18" s="3"/>
      <c r="F18" s="3"/>
      <c r="G18" s="3"/>
      <c r="H18" s="3"/>
      <c r="I18" s="3"/>
      <c r="J18" s="3"/>
      <c r="K18" s="3"/>
      <c r="L18" s="23"/>
      <c r="M18" s="21">
        <v>1200001</v>
      </c>
      <c r="N18" s="70">
        <v>999999999999</v>
      </c>
    </row>
    <row r="19" spans="1:18" ht="7.5" customHeight="1" x14ac:dyDescent="0.25">
      <c r="B19" s="41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29"/>
    </row>
    <row r="20" spans="1:18" x14ac:dyDescent="0.25">
      <c r="B20" s="92" t="s">
        <v>2</v>
      </c>
      <c r="C20" s="93"/>
      <c r="D20" s="8"/>
      <c r="E20" s="8"/>
      <c r="F20" s="8"/>
      <c r="G20" s="8"/>
      <c r="H20" s="13"/>
      <c r="I20" s="8"/>
      <c r="J20" s="8"/>
      <c r="K20" s="8"/>
      <c r="L20" s="76" t="s">
        <v>4</v>
      </c>
      <c r="M20" s="8"/>
      <c r="N20" s="8"/>
    </row>
    <row r="21" spans="1:18" ht="45" customHeight="1" x14ac:dyDescent="0.25">
      <c r="B21" s="36"/>
      <c r="C21" s="14" t="s">
        <v>6</v>
      </c>
      <c r="D21" s="14" t="s">
        <v>7</v>
      </c>
      <c r="E21" s="42" t="str">
        <f>IF(OR(C4=C22,C4&lt;C22),"Less than or equal the Min",
IF(AND(C4&gt;C22,C4&lt;D22),"Between the Min and the Max",
IF(OR(C4=D22,C4&gt;D22),"More than or equal the Max",
"Check")))&amp;", Contribution:"</f>
        <v>More than or equal the Max, Contribution:</v>
      </c>
      <c r="F21" s="14" t="s">
        <v>24</v>
      </c>
      <c r="G21" s="14" t="s">
        <v>17</v>
      </c>
      <c r="H21" s="8"/>
      <c r="I21" s="8"/>
      <c r="J21" s="8"/>
      <c r="K21" s="8"/>
      <c r="L21" s="35">
        <f>IF(D4=L22,M22,IF(L23=D4,M23,"Check Disability"))</f>
        <v>20000</v>
      </c>
      <c r="M21" s="79" t="s">
        <v>27</v>
      </c>
      <c r="N21" s="79" t="s">
        <v>28</v>
      </c>
      <c r="R21" s="4"/>
    </row>
    <row r="22" spans="1:18" x14ac:dyDescent="0.25">
      <c r="B22" s="76"/>
      <c r="C22" s="44">
        <v>2300</v>
      </c>
      <c r="D22" s="44">
        <v>14500</v>
      </c>
      <c r="E22" s="44">
        <f>IF(OR(C4=C22,C4&lt;C22),C22*0.11,
IF(AND(C4&gt;C22,C4&lt;D22),C4*0.11,
IF(OR(C4=D22,C4&gt;D22),D22*0.11,
"Check")))</f>
        <v>1595</v>
      </c>
      <c r="F22" s="44">
        <f>C4-E22</f>
        <v>63405</v>
      </c>
      <c r="G22" s="44">
        <f>(C4-E22)*12</f>
        <v>760860</v>
      </c>
      <c r="H22" s="8"/>
      <c r="I22" s="8"/>
      <c r="J22" s="8"/>
      <c r="K22" s="8"/>
      <c r="L22" s="76" t="s">
        <v>8</v>
      </c>
      <c r="M22" s="15">
        <v>20000</v>
      </c>
      <c r="N22" s="16">
        <f>IF($D$4=L22,$G$22-M22,"")</f>
        <v>740860</v>
      </c>
    </row>
    <row r="23" spans="1:18" x14ac:dyDescent="0.25">
      <c r="B23" s="76" t="s">
        <v>3</v>
      </c>
      <c r="C23" s="44">
        <f>C22*0.11</f>
        <v>253</v>
      </c>
      <c r="D23" s="44">
        <f>D22*0.11</f>
        <v>1595</v>
      </c>
      <c r="E23" s="45"/>
      <c r="F23" s="46"/>
      <c r="G23" s="46"/>
      <c r="H23" s="8"/>
      <c r="I23" s="8"/>
      <c r="J23" s="8"/>
      <c r="K23" s="8"/>
      <c r="L23" s="76" t="s">
        <v>5</v>
      </c>
      <c r="M23" s="15">
        <f>M22+(M22/2)</f>
        <v>30000</v>
      </c>
      <c r="N23" s="16" t="str">
        <f>IF($D$4=L23,$G$22-M23,"")</f>
        <v/>
      </c>
    </row>
    <row r="24" spans="1:18" x14ac:dyDescent="0.25">
      <c r="A24" s="17"/>
      <c r="B24" s="8"/>
      <c r="C24" s="8"/>
      <c r="D24" s="8"/>
      <c r="E24" s="31">
        <f>IF(OR(C4=C22,C4&lt;C22),C4-(C22*0.11),0)</f>
        <v>0</v>
      </c>
      <c r="F24" s="31"/>
      <c r="G24" s="8"/>
      <c r="H24" s="8"/>
      <c r="I24" s="8"/>
      <c r="J24" s="8"/>
      <c r="K24" s="8"/>
      <c r="L24" s="8"/>
    </row>
    <row r="25" spans="1:18" ht="18.75" customHeight="1" x14ac:dyDescent="0.25">
      <c r="A25" s="17"/>
      <c r="B25" s="89" t="str">
        <f>IF(OR(C4=C22,C4&lt;C22),"Employee contribution: The Minimum Contribution of "&amp;E22,
IF(AND(C4&gt;C22,C4&lt;D22),"Employee contribution: Monthly Salary of EGP"&amp;C4&amp;" Multiplied by 11% = EGP"&amp;E22,
IF(OR(C4=D22,C4&gt;D22),"Employee contribution: The Maximum Contribution of "&amp;E22,
"Check")))</f>
        <v>Employee contribution: The Maximum Contribution of 1595</v>
      </c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83"/>
      <c r="N25" s="33"/>
    </row>
    <row r="26" spans="1:18" x14ac:dyDescent="0.25">
      <c r="A26" s="17"/>
      <c r="B26" s="91" t="str">
        <f>"Monthly Salary after insurance: Monthly Gross Salary of EGP"&amp;C4&amp; " Minus Employee contribution = EGP"&amp;F22</f>
        <v>Monthly Salary after insurance: Monthly Gross Salary of EGP65000 Minus Employee contribution = EGP63405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84"/>
      <c r="N26" s="32"/>
    </row>
    <row r="27" spans="1:18" ht="15" customHeight="1" x14ac:dyDescent="0.25">
      <c r="A27" s="17"/>
      <c r="B27" s="94" t="str">
        <f>"Annual  Salary after insurance: Monthly Salary after insurance of EGP"&amp;C4-E22&amp;" Multiplied by 12 months = EGP"&amp;(C4-E22)*12</f>
        <v>Annual  Salary after insurance: Monthly Salary after insurance of EGP63405 Multiplied by 12 months = EGP760860</v>
      </c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83"/>
      <c r="N27" s="9"/>
    </row>
    <row r="28" spans="1:18" x14ac:dyDescent="0.25">
      <c r="A28" s="17"/>
      <c r="B28" s="88" t="str">
        <f>IF(N22&lt;=D12,"No Taxes",
"Annual Taxable Salary: Annual  Salary after insurance of EGP"&amp;(C4-E22)*12&amp;" Minus Exemption Limit of "&amp;D4&amp;" of EGP"&amp;L21&amp;" = "&amp;((C4-E22)*12)-L21)</f>
        <v>Annual Taxable Salary: Annual  Salary after insurance of EGP760860 Minus Exemption Limit of Healthy of EGP20000 = 740860</v>
      </c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36"/>
      <c r="N28" s="31"/>
    </row>
    <row r="29" spans="1:18" x14ac:dyDescent="0.25">
      <c r="B29" s="41"/>
      <c r="C29" s="19"/>
      <c r="D29" s="19"/>
      <c r="E29" s="19"/>
      <c r="F29" s="19"/>
      <c r="G29" s="85"/>
      <c r="H29" s="86"/>
      <c r="I29" s="87"/>
      <c r="J29" s="86"/>
      <c r="K29" s="19"/>
      <c r="L29" s="19"/>
      <c r="M29" s="5"/>
      <c r="N29" s="6"/>
    </row>
    <row r="30" spans="1:18" ht="18.75" x14ac:dyDescent="0.25">
      <c r="B30" s="36"/>
      <c r="C30" s="24"/>
      <c r="D30" s="24"/>
      <c r="E30" s="24"/>
      <c r="F30" s="24"/>
      <c r="G30" s="24"/>
      <c r="H30" s="25"/>
      <c r="I30" s="8"/>
      <c r="J30" s="8"/>
      <c r="K30" s="30"/>
      <c r="L30" s="8"/>
      <c r="M30" s="8"/>
      <c r="N30" s="8"/>
    </row>
    <row r="31" spans="1:18" x14ac:dyDescent="0.25">
      <c r="B31" s="36"/>
      <c r="C31" s="8"/>
      <c r="D31" s="8"/>
      <c r="E31" s="8"/>
      <c r="F31" s="7"/>
      <c r="G31" s="7"/>
      <c r="H31" s="7"/>
      <c r="I31" s="7"/>
      <c r="J31" s="7"/>
      <c r="K31" s="7"/>
      <c r="L31" s="7"/>
      <c r="M31" s="7"/>
      <c r="N31" s="7"/>
    </row>
    <row r="32" spans="1:18" x14ac:dyDescent="0.25">
      <c r="B32" s="36"/>
      <c r="C32" s="8"/>
      <c r="D32" s="8"/>
      <c r="E32" s="8"/>
      <c r="F32" s="7"/>
      <c r="G32" s="7"/>
      <c r="H32" s="7"/>
      <c r="I32" s="7"/>
      <c r="J32" s="7"/>
      <c r="K32" s="7"/>
      <c r="L32" s="7"/>
      <c r="M32" s="7"/>
      <c r="N32" s="7"/>
    </row>
    <row r="33" spans="2:26" x14ac:dyDescent="0.25">
      <c r="B33" s="36"/>
      <c r="C33" s="8"/>
      <c r="D33" s="8"/>
      <c r="E33" s="8"/>
      <c r="F33" s="7"/>
      <c r="G33" s="7"/>
      <c r="H33" s="7"/>
      <c r="I33" s="7"/>
      <c r="J33" s="7"/>
      <c r="K33" s="7"/>
      <c r="L33" s="7"/>
      <c r="M33" s="7"/>
      <c r="N33" s="7"/>
    </row>
    <row r="34" spans="2:26" x14ac:dyDescent="0.25">
      <c r="B34" s="36"/>
      <c r="C34" s="8"/>
      <c r="D34" s="8"/>
      <c r="E34" s="8"/>
      <c r="F34" s="7"/>
      <c r="G34" s="7"/>
      <c r="H34" s="7"/>
      <c r="I34" s="7"/>
      <c r="J34" s="7"/>
      <c r="K34" s="7"/>
      <c r="L34" s="7"/>
      <c r="M34" s="7"/>
      <c r="N34" s="7"/>
    </row>
    <row r="35" spans="2:26" x14ac:dyDescent="0.25">
      <c r="B35" s="36"/>
      <c r="C35" s="8"/>
      <c r="D35" s="8"/>
      <c r="E35" s="8"/>
      <c r="F35" s="7"/>
      <c r="G35" s="7"/>
      <c r="H35" s="7"/>
      <c r="I35" s="7"/>
      <c r="J35" s="7"/>
      <c r="K35" s="7"/>
      <c r="L35" s="7"/>
      <c r="M35" s="7"/>
      <c r="N35" s="7"/>
    </row>
    <row r="36" spans="2:26" x14ac:dyDescent="0.25">
      <c r="B36" s="36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2:26" x14ac:dyDescent="0.25">
      <c r="B37" s="36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2:26" x14ac:dyDescent="0.25">
      <c r="B38" s="36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2:26" x14ac:dyDescent="0.25">
      <c r="B39" s="36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2:26" x14ac:dyDescent="0.25">
      <c r="B40" s="36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2" spans="2:26" x14ac:dyDescent="0.25">
      <c r="B42" s="53"/>
      <c r="C42" s="53"/>
      <c r="D42" s="54" t="s">
        <v>10</v>
      </c>
      <c r="E42" s="53"/>
      <c r="F42" s="55" t="s">
        <v>11</v>
      </c>
      <c r="G42" s="53"/>
      <c r="H42" s="54" t="s">
        <v>12</v>
      </c>
      <c r="I42" s="53"/>
      <c r="J42" s="55" t="s">
        <v>13</v>
      </c>
      <c r="K42" s="53"/>
      <c r="L42" s="54" t="s">
        <v>14</v>
      </c>
      <c r="M42" s="53"/>
      <c r="N42" s="55" t="s">
        <v>15</v>
      </c>
      <c r="S42" s="12"/>
      <c r="U42" s="12"/>
      <c r="V42" s="11" t="s">
        <v>13</v>
      </c>
      <c r="W42" s="12"/>
      <c r="X42" s="10" t="s">
        <v>14</v>
      </c>
      <c r="Y42" s="12"/>
      <c r="Z42" s="11" t="s">
        <v>15</v>
      </c>
    </row>
    <row r="43" spans="2:26" x14ac:dyDescent="0.25">
      <c r="B43" s="56">
        <v>0</v>
      </c>
      <c r="C43" s="57"/>
      <c r="D43" s="58">
        <f>IF(D12-C12&lt;0,0,
IF(D$42=$E$7,D12-C12,
0))</f>
        <v>0</v>
      </c>
      <c r="E43" s="59"/>
      <c r="F43" s="60">
        <f>IF(F12-E12&lt;0,0,
IF(F$42=$E$7,F12-E12,
0))</f>
        <v>0</v>
      </c>
      <c r="G43" s="61"/>
      <c r="H43" s="58">
        <f>IF(H12-G12&lt;0,0,
IF(H$42=$E$7,H12-G12,
0))</f>
        <v>0</v>
      </c>
      <c r="I43" s="59"/>
      <c r="J43" s="60">
        <f>IF(J12-I12&lt;0,0,
IF(J$42=$E$7,J12-I12,
0))</f>
        <v>0</v>
      </c>
      <c r="K43" s="61"/>
      <c r="L43" s="58">
        <f>IF(L12-K12&lt;0,0,
IF(L$42=$E$7,L12-K12,
0))</f>
        <v>0</v>
      </c>
      <c r="M43" s="59"/>
      <c r="N43" s="60">
        <f>IF(N12-M12&lt;0,0,
IF(N$42=$E$7,N12-M12,
0))</f>
        <v>0</v>
      </c>
    </row>
    <row r="44" spans="2:26" x14ac:dyDescent="0.25">
      <c r="B44" s="62">
        <v>0.1</v>
      </c>
      <c r="C44" s="63">
        <f>IF(D$42&lt;&gt;$E$7,0,
IF($D$7-D43&lt;0,0,$D$7-D43))</f>
        <v>0</v>
      </c>
      <c r="D44" s="64">
        <f>IF(D13-C13&lt;0,0,
IF(D$42=$E$7,D13-C13,0))</f>
        <v>0</v>
      </c>
      <c r="E44" s="65">
        <f>IF(F$42&lt;&gt;$E$7,0,
IF($D$7-F43&lt;0,0,$D$7-F43))</f>
        <v>0</v>
      </c>
      <c r="F44" s="64">
        <f>IF(F13-E13&lt;0,0,
IF(F$42=$E$7,F13-E13,0))</f>
        <v>0</v>
      </c>
      <c r="G44" s="65">
        <f>IF(H$42&lt;&gt;$E$7,0,
IF($D$7-H43&lt;0,0,$D$7-H43))</f>
        <v>740860</v>
      </c>
      <c r="H44" s="64">
        <f>IF(H13-G13&lt;0,0,
IF(H$42=$E$7,H13-G13,0))</f>
        <v>0</v>
      </c>
      <c r="I44" s="65">
        <f>IF(J$42&lt;&gt;$E$7,0,
IF($D$7-J43&lt;0,0,$D$7-J43))</f>
        <v>0</v>
      </c>
      <c r="J44" s="64">
        <f>IF(J13-I13&lt;0,0,
IF(J$42=$E$7,J13-I13,0))</f>
        <v>0</v>
      </c>
      <c r="K44" s="65">
        <f>IF(L$42&lt;&gt;$E$7,0,
IF($D$7-L43&lt;0,0,$D$7-L43))</f>
        <v>0</v>
      </c>
      <c r="L44" s="64">
        <f>IF(L13-K13&lt;0,0,
IF(L$42=$E$7,L13-K13,0))</f>
        <v>0</v>
      </c>
      <c r="M44" s="65">
        <f>IF(N$42&lt;&gt;$E$7,0,
IF($D$7-N43&lt;0,0,$D$7-N43))</f>
        <v>0</v>
      </c>
      <c r="N44" s="64">
        <f t="shared" ref="N44:N49" si="1">IF(N13-M13&lt;0,0,
IF(N$42=$E$7,N13-M13,0))</f>
        <v>0</v>
      </c>
    </row>
    <row r="45" spans="2:26" x14ac:dyDescent="0.25">
      <c r="B45" s="66">
        <v>0.15</v>
      </c>
      <c r="C45" s="57">
        <f>IF(C44-D44&lt;0,0,C44-D44)</f>
        <v>0</v>
      </c>
      <c r="D45" s="57">
        <f>IF(D14-C14&lt;0,0,
IF(D$42=$E$7,D14-C14,0))</f>
        <v>0</v>
      </c>
      <c r="E45" s="57">
        <f>IF(E44-F44&lt;0,0,E44-F44)</f>
        <v>0</v>
      </c>
      <c r="F45" s="57">
        <f>IF(F14-E14&lt;0,0,
IF(F$42=$E$7,F14-E14,0))</f>
        <v>0</v>
      </c>
      <c r="G45" s="57">
        <f>IF(G44-H44&lt;0,0,G44-H44)</f>
        <v>740860</v>
      </c>
      <c r="H45" s="57">
        <f>IF(H14-G14&lt;0,0,
IF(H$42=$E$7,H14-G14,0))</f>
        <v>70000</v>
      </c>
      <c r="I45" s="57">
        <f>IF(I44-J44&lt;0,0,I44-J44)</f>
        <v>0</v>
      </c>
      <c r="J45" s="57">
        <f>IF(J14-I14&lt;0,0,
IF(J$42=$E$7,J14-I14,0))</f>
        <v>0</v>
      </c>
      <c r="K45" s="57">
        <f>IF(K44-L44&lt;0,0,K44-L44)</f>
        <v>0</v>
      </c>
      <c r="L45" s="57">
        <f>IF(L14-K14&lt;0,0,
IF(L$42=$E$7,L14-K14,0))</f>
        <v>0</v>
      </c>
      <c r="M45" s="57">
        <f>IF(M44-N44&lt;0,0,M44-N44)</f>
        <v>0</v>
      </c>
      <c r="N45" s="57">
        <f t="shared" si="1"/>
        <v>0</v>
      </c>
    </row>
    <row r="46" spans="2:26" x14ac:dyDescent="0.25">
      <c r="B46" s="62">
        <v>0.2</v>
      </c>
      <c r="C46" s="63">
        <f>IF(C45-D45&lt;0,0,C45-D45)</f>
        <v>0</v>
      </c>
      <c r="D46" s="64">
        <f>IF(D15-C15&lt;0,0,
IF(D$42=$E$7,D15-C15,0))</f>
        <v>0</v>
      </c>
      <c r="E46" s="65">
        <f>IF(E45-F45&lt;0,0,E45-F45)</f>
        <v>0</v>
      </c>
      <c r="F46" s="64">
        <f>IF(F15-E15&lt;0,0,
IF(F$42=$E$7,F15-E15,0))</f>
        <v>0</v>
      </c>
      <c r="G46" s="65">
        <f>IF(G45-H45&lt;0,0,G45-H45)</f>
        <v>670860</v>
      </c>
      <c r="H46" s="64">
        <f>IF(H15-G15&lt;0,0,
IF(H$42=$E$7,H15-G15,0))</f>
        <v>130000</v>
      </c>
      <c r="I46" s="65">
        <f>IF(I45-J45&lt;0,0,I45-J45)</f>
        <v>0</v>
      </c>
      <c r="J46" s="64">
        <f>IF(J15-I15&lt;0,0,
IF(J$42=$E$7,J15-I15,0))</f>
        <v>0</v>
      </c>
      <c r="K46" s="65">
        <f>IF(K45-L45&lt;0,0,K45-L45)</f>
        <v>0</v>
      </c>
      <c r="L46" s="64">
        <f>IF(L15-K15&lt;0,0,
IF(L$42=$E$7,L15-K15,0))</f>
        <v>0</v>
      </c>
      <c r="M46" s="65">
        <f>IF(M45-N45&lt;0,0,M45-N45)</f>
        <v>0</v>
      </c>
      <c r="N46" s="64">
        <f t="shared" si="1"/>
        <v>0</v>
      </c>
    </row>
    <row r="47" spans="2:26" x14ac:dyDescent="0.25">
      <c r="B47" s="66">
        <v>0.22500000000000001</v>
      </c>
      <c r="C47" s="57">
        <f>IF(C46-D46&lt;0,0,C46-D46)</f>
        <v>0</v>
      </c>
      <c r="D47" s="57">
        <f>IF(D16-C16&lt;0,0,
IF(D$42=$E$7,D16-C16,0))</f>
        <v>0</v>
      </c>
      <c r="E47" s="57">
        <f>IF(E46-F46&lt;0,0,E46-F46)</f>
        <v>0</v>
      </c>
      <c r="F47" s="57">
        <f>IF(F16-E16&lt;0,0,
IF(F$42=$E$7,F16-E16,0))</f>
        <v>0</v>
      </c>
      <c r="G47" s="57">
        <f>IF(G46-H46&lt;0,0,G46-H46)</f>
        <v>540860</v>
      </c>
      <c r="H47" s="57">
        <f>IF(H16-G16&lt;0,0,
IF(H$42=$E$7,H16-G16,0))</f>
        <v>200000</v>
      </c>
      <c r="I47" s="57">
        <f>IF(I46-J46&lt;0,0,I46-J46)</f>
        <v>0</v>
      </c>
      <c r="J47" s="57">
        <f>IF(J16-I16&lt;0,0,
IF(J$42=$E$7,J16-I16,0))</f>
        <v>0</v>
      </c>
      <c r="K47" s="57">
        <f>IF(K46-L46&lt;0,0,K46-L46)</f>
        <v>0</v>
      </c>
      <c r="L47" s="57">
        <f>IF(L16-K16&lt;0,0,
IF(L$42=$E$7,L16-K16,0))</f>
        <v>0</v>
      </c>
      <c r="M47" s="57">
        <f>IF(M46-N46&lt;0,0,M46-N46)</f>
        <v>0</v>
      </c>
      <c r="N47" s="57">
        <f t="shared" si="1"/>
        <v>0</v>
      </c>
    </row>
    <row r="48" spans="2:26" x14ac:dyDescent="0.25">
      <c r="B48" s="62">
        <v>0.25</v>
      </c>
      <c r="C48" s="63">
        <f>IF(C47-D47&lt;0,0,C47-D47)</f>
        <v>0</v>
      </c>
      <c r="D48" s="64">
        <f>IF(D$42=$E$7,D11-SUM(D43:D47),
0)</f>
        <v>0</v>
      </c>
      <c r="E48" s="65">
        <f>IF(E47-F47&lt;0,0,E47-F47)</f>
        <v>0</v>
      </c>
      <c r="F48" s="64">
        <f>IF(F$42=$E$7,F11-SUM(F43:F47),
0)</f>
        <v>0</v>
      </c>
      <c r="G48" s="65">
        <f>IF(G47-H47&lt;0,0,G47-H47)</f>
        <v>340860</v>
      </c>
      <c r="H48" s="64">
        <f>IF(H$42=$E$7,H11-SUM(H43:H47),
0)</f>
        <v>400000</v>
      </c>
      <c r="I48" s="65">
        <f>IF(I47-J47&lt;0,0,I47-J47)</f>
        <v>0</v>
      </c>
      <c r="J48" s="64">
        <f>IF(J$42=$E$7,J11-SUM(J43:J47),
0)</f>
        <v>0</v>
      </c>
      <c r="K48" s="65">
        <f>IF(K47-L47&lt;0,0,K47-L47)</f>
        <v>0</v>
      </c>
      <c r="L48" s="64">
        <f>IF(L$42=$E$7,L11-SUM(L43:L47),
0)</f>
        <v>0</v>
      </c>
      <c r="M48" s="65">
        <f>IF(M47-N47&lt;0,0,M47-N47)</f>
        <v>0</v>
      </c>
      <c r="N48" s="64">
        <f t="shared" si="1"/>
        <v>0</v>
      </c>
    </row>
    <row r="49" spans="2:14" x14ac:dyDescent="0.25">
      <c r="B49" s="66">
        <v>0.27500000000000002</v>
      </c>
      <c r="C49" s="57"/>
      <c r="D49" s="58"/>
      <c r="E49" s="59"/>
      <c r="F49" s="60"/>
      <c r="G49" s="61"/>
      <c r="H49" s="58"/>
      <c r="I49" s="59"/>
      <c r="J49" s="60"/>
      <c r="K49" s="61"/>
      <c r="L49" s="58"/>
      <c r="M49" s="59">
        <f>IF(M48-N48&lt;0,0,M48-N48)</f>
        <v>0</v>
      </c>
      <c r="N49" s="60">
        <f t="shared" si="1"/>
        <v>0</v>
      </c>
    </row>
    <row r="50" spans="2:14" x14ac:dyDescent="0.25">
      <c r="B50" s="53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</row>
    <row r="51" spans="2:14" x14ac:dyDescent="0.25">
      <c r="B51" s="56">
        <v>0</v>
      </c>
      <c r="C51" s="61"/>
      <c r="D51" s="61"/>
      <c r="E51" s="59"/>
      <c r="F51" s="60"/>
      <c r="G51" s="61"/>
      <c r="H51" s="58"/>
      <c r="I51" s="59"/>
      <c r="J51" s="60"/>
      <c r="K51" s="61"/>
      <c r="L51" s="58"/>
      <c r="M51" s="59"/>
      <c r="N51" s="60"/>
    </row>
    <row r="52" spans="2:14" x14ac:dyDescent="0.25">
      <c r="B52" s="66">
        <v>0.1</v>
      </c>
      <c r="C52" s="58">
        <f>D52*B13</f>
        <v>0</v>
      </c>
      <c r="D52" s="58">
        <f t="shared" ref="D52:D57" si="2">IF(C44&gt;D44,D44,C44)</f>
        <v>0</v>
      </c>
      <c r="E52" s="60">
        <f>F52*D13</f>
        <v>0</v>
      </c>
      <c r="F52" s="60">
        <f t="shared" ref="F52:F57" si="3">IF(E44&gt;F44,F44,E44)</f>
        <v>0</v>
      </c>
      <c r="G52" s="58">
        <f t="shared" ref="G52:G57" si="4">H52*F13</f>
        <v>0</v>
      </c>
      <c r="H52" s="58">
        <f t="shared" ref="H52:H57" si="5">IF(G44&gt;H44,H44,G44)</f>
        <v>0</v>
      </c>
      <c r="I52" s="60">
        <f t="shared" ref="I52:I57" si="6">J52*H13</f>
        <v>0</v>
      </c>
      <c r="J52" s="60">
        <f t="shared" ref="J52:J57" si="7">IF(I44&gt;J44,J44,I44)</f>
        <v>0</v>
      </c>
      <c r="K52" s="58">
        <f t="shared" ref="K52:K57" si="8">L52*J13</f>
        <v>0</v>
      </c>
      <c r="L52" s="58">
        <f t="shared" ref="L52:L57" si="9">IF(K44&gt;L44,L44,K44)</f>
        <v>0</v>
      </c>
      <c r="M52" s="60">
        <f t="shared" ref="M52:M58" si="10">N52*L13</f>
        <v>0</v>
      </c>
      <c r="N52" s="60">
        <f t="shared" ref="N52:N57" si="11">IF(M44&gt;N44,N44,M44)</f>
        <v>0</v>
      </c>
    </row>
    <row r="53" spans="2:14" x14ac:dyDescent="0.25">
      <c r="B53" s="66">
        <v>0.15</v>
      </c>
      <c r="C53" s="58">
        <f t="shared" ref="C53:E57" si="12">D53*B14</f>
        <v>0</v>
      </c>
      <c r="D53" s="58">
        <f t="shared" si="2"/>
        <v>0</v>
      </c>
      <c r="E53" s="60">
        <f t="shared" si="12"/>
        <v>0</v>
      </c>
      <c r="F53" s="60">
        <f t="shared" si="3"/>
        <v>0</v>
      </c>
      <c r="G53" s="58">
        <f t="shared" si="4"/>
        <v>4900000000</v>
      </c>
      <c r="H53" s="58">
        <f t="shared" si="5"/>
        <v>70000</v>
      </c>
      <c r="I53" s="60">
        <f t="shared" si="6"/>
        <v>0</v>
      </c>
      <c r="J53" s="60">
        <f t="shared" si="7"/>
        <v>0</v>
      </c>
      <c r="K53" s="58">
        <f t="shared" si="8"/>
        <v>0</v>
      </c>
      <c r="L53" s="58">
        <f t="shared" si="9"/>
        <v>0</v>
      </c>
      <c r="M53" s="60">
        <f t="shared" si="10"/>
        <v>0</v>
      </c>
      <c r="N53" s="60">
        <f t="shared" si="11"/>
        <v>0</v>
      </c>
    </row>
    <row r="54" spans="2:14" x14ac:dyDescent="0.25">
      <c r="B54" s="66">
        <v>0.2</v>
      </c>
      <c r="C54" s="58">
        <f t="shared" si="12"/>
        <v>0</v>
      </c>
      <c r="D54" s="58">
        <f t="shared" si="2"/>
        <v>0</v>
      </c>
      <c r="E54" s="60">
        <f t="shared" si="12"/>
        <v>0</v>
      </c>
      <c r="F54" s="60">
        <f t="shared" si="3"/>
        <v>0</v>
      </c>
      <c r="G54" s="58">
        <f t="shared" si="4"/>
        <v>26000000000</v>
      </c>
      <c r="H54" s="58">
        <f t="shared" si="5"/>
        <v>130000</v>
      </c>
      <c r="I54" s="60">
        <f t="shared" si="6"/>
        <v>0</v>
      </c>
      <c r="J54" s="60">
        <f t="shared" si="7"/>
        <v>0</v>
      </c>
      <c r="K54" s="58">
        <f t="shared" si="8"/>
        <v>0</v>
      </c>
      <c r="L54" s="58">
        <f t="shared" si="9"/>
        <v>0</v>
      </c>
      <c r="M54" s="60">
        <f t="shared" si="10"/>
        <v>0</v>
      </c>
      <c r="N54" s="60">
        <f t="shared" si="11"/>
        <v>0</v>
      </c>
    </row>
    <row r="55" spans="2:14" x14ac:dyDescent="0.25">
      <c r="B55" s="66">
        <v>0.22500000000000001</v>
      </c>
      <c r="C55" s="58">
        <f t="shared" si="12"/>
        <v>0</v>
      </c>
      <c r="D55" s="58">
        <f t="shared" si="2"/>
        <v>0</v>
      </c>
      <c r="E55" s="60">
        <f t="shared" si="12"/>
        <v>0</v>
      </c>
      <c r="F55" s="60">
        <f t="shared" si="3"/>
        <v>0</v>
      </c>
      <c r="G55" s="58">
        <f t="shared" si="4"/>
        <v>80000000000</v>
      </c>
      <c r="H55" s="58">
        <f t="shared" si="5"/>
        <v>200000</v>
      </c>
      <c r="I55" s="60">
        <f t="shared" si="6"/>
        <v>0</v>
      </c>
      <c r="J55" s="60">
        <f t="shared" si="7"/>
        <v>0</v>
      </c>
      <c r="K55" s="58">
        <f t="shared" si="8"/>
        <v>0</v>
      </c>
      <c r="L55" s="58">
        <f t="shared" si="9"/>
        <v>0</v>
      </c>
      <c r="M55" s="60">
        <f t="shared" si="10"/>
        <v>0</v>
      </c>
      <c r="N55" s="60">
        <f t="shared" si="11"/>
        <v>0</v>
      </c>
    </row>
    <row r="56" spans="2:14" x14ac:dyDescent="0.25">
      <c r="B56" s="66">
        <v>0.25</v>
      </c>
      <c r="C56" s="58">
        <f t="shared" si="12"/>
        <v>0</v>
      </c>
      <c r="D56" s="58">
        <f t="shared" si="2"/>
        <v>0</v>
      </c>
      <c r="E56" s="60">
        <f t="shared" si="12"/>
        <v>0</v>
      </c>
      <c r="F56" s="60">
        <f t="shared" si="3"/>
        <v>0</v>
      </c>
      <c r="G56" s="58">
        <f t="shared" si="4"/>
        <v>0</v>
      </c>
      <c r="H56" s="58">
        <f t="shared" si="5"/>
        <v>340860</v>
      </c>
      <c r="I56" s="60">
        <f t="shared" si="6"/>
        <v>0</v>
      </c>
      <c r="J56" s="60">
        <f t="shared" si="7"/>
        <v>0</v>
      </c>
      <c r="K56" s="58">
        <f t="shared" si="8"/>
        <v>0</v>
      </c>
      <c r="L56" s="58">
        <f t="shared" si="9"/>
        <v>0</v>
      </c>
      <c r="M56" s="60">
        <f t="shared" si="10"/>
        <v>0</v>
      </c>
      <c r="N56" s="60">
        <f t="shared" si="11"/>
        <v>0</v>
      </c>
    </row>
    <row r="57" spans="2:14" x14ac:dyDescent="0.25">
      <c r="B57" s="66">
        <v>0.27500000000000002</v>
      </c>
      <c r="C57" s="58">
        <f t="shared" si="12"/>
        <v>0</v>
      </c>
      <c r="D57" s="58">
        <f t="shared" si="2"/>
        <v>0</v>
      </c>
      <c r="E57" s="60">
        <f t="shared" si="12"/>
        <v>0</v>
      </c>
      <c r="F57" s="60">
        <f t="shared" si="3"/>
        <v>0</v>
      </c>
      <c r="G57" s="58">
        <f t="shared" si="4"/>
        <v>0</v>
      </c>
      <c r="H57" s="68">
        <f t="shared" si="5"/>
        <v>0</v>
      </c>
      <c r="I57" s="60">
        <f t="shared" si="6"/>
        <v>0</v>
      </c>
      <c r="J57" s="60">
        <f t="shared" si="7"/>
        <v>0</v>
      </c>
      <c r="K57" s="58">
        <f t="shared" si="8"/>
        <v>0</v>
      </c>
      <c r="L57" s="58">
        <f t="shared" si="9"/>
        <v>0</v>
      </c>
      <c r="M57" s="60">
        <f t="shared" si="10"/>
        <v>0</v>
      </c>
      <c r="N57" s="60">
        <f t="shared" si="11"/>
        <v>0</v>
      </c>
    </row>
    <row r="58" spans="2:14" x14ac:dyDescent="0.25">
      <c r="B58" s="53"/>
      <c r="C58" s="58"/>
      <c r="D58" s="58"/>
      <c r="E58" s="60"/>
      <c r="F58" s="60"/>
      <c r="G58" s="58"/>
      <c r="H58" s="68"/>
      <c r="I58" s="60"/>
      <c r="J58" s="60"/>
      <c r="K58" s="58"/>
      <c r="L58" s="68"/>
      <c r="M58" s="60">
        <f t="shared" si="10"/>
        <v>0</v>
      </c>
      <c r="N58" s="60">
        <f>IF(M50&gt;N50,N50,M50)</f>
        <v>0</v>
      </c>
    </row>
  </sheetData>
  <mergeCells count="11">
    <mergeCell ref="M10:N10"/>
    <mergeCell ref="C10:D10"/>
    <mergeCell ref="E10:F10"/>
    <mergeCell ref="G10:H10"/>
    <mergeCell ref="I10:J10"/>
    <mergeCell ref="K10:L10"/>
    <mergeCell ref="B28:L28"/>
    <mergeCell ref="B25:L25"/>
    <mergeCell ref="B26:L26"/>
    <mergeCell ref="B20:C20"/>
    <mergeCell ref="B27:L27"/>
  </mergeCells>
  <conditionalFormatting sqref="C4 N28">
    <cfRule type="cellIs" dxfId="18" priority="52" operator="equal">
      <formula>0</formula>
    </cfRule>
  </conditionalFormatting>
  <conditionalFormatting sqref="E24:G24 B25">
    <cfRule type="cellIs" dxfId="17" priority="51" operator="equal">
      <formula>0</formula>
    </cfRule>
  </conditionalFormatting>
  <conditionalFormatting sqref="N25:N26">
    <cfRule type="expression" dxfId="16" priority="45">
      <formula>M25=TRUE</formula>
    </cfRule>
  </conditionalFormatting>
  <conditionalFormatting sqref="D7">
    <cfRule type="cellIs" dxfId="15" priority="44" operator="equal">
      <formula>"Check Disability"</formula>
    </cfRule>
  </conditionalFormatting>
  <conditionalFormatting sqref="L21">
    <cfRule type="cellIs" dxfId="14" priority="43" operator="equal">
      <formula>"Check Disability"</formula>
    </cfRule>
  </conditionalFormatting>
  <conditionalFormatting sqref="N27">
    <cfRule type="cellIs" dxfId="13" priority="42" operator="equal">
      <formula>FALSE</formula>
    </cfRule>
  </conditionalFormatting>
  <conditionalFormatting sqref="C30:G30 G7:L7">
    <cfRule type="expression" dxfId="12" priority="26">
      <formula>D7=0</formula>
    </cfRule>
  </conditionalFormatting>
  <conditionalFormatting sqref="C30">
    <cfRule type="cellIs" dxfId="11" priority="22" operator="equal">
      <formula>0</formula>
    </cfRule>
  </conditionalFormatting>
  <conditionalFormatting sqref="D30:H30">
    <cfRule type="cellIs" dxfId="10" priority="17" operator="equal">
      <formula>0</formula>
    </cfRule>
  </conditionalFormatting>
  <conditionalFormatting sqref="H30">
    <cfRule type="expression" dxfId="9" priority="55">
      <formula>K30=0</formula>
    </cfRule>
  </conditionalFormatting>
  <conditionalFormatting sqref="C10:N10">
    <cfRule type="expression" dxfId="8" priority="56">
      <formula>$E$7=C9</formula>
    </cfRule>
  </conditionalFormatting>
  <conditionalFormatting sqref="G7:L7">
    <cfRule type="cellIs" dxfId="7" priority="7" operator="equal">
      <formula>0</formula>
    </cfRule>
  </conditionalFormatting>
  <conditionalFormatting sqref="F23:G23">
    <cfRule type="cellIs" dxfId="6" priority="6" operator="equal">
      <formula>0</formula>
    </cfRule>
  </conditionalFormatting>
  <conditionalFormatting sqref="J6">
    <cfRule type="expression" dxfId="5" priority="5">
      <formula>J7=0</formula>
    </cfRule>
  </conditionalFormatting>
  <conditionalFormatting sqref="K6:L6">
    <cfRule type="expression" dxfId="4" priority="4">
      <formula>K7=0</formula>
    </cfRule>
  </conditionalFormatting>
  <conditionalFormatting sqref="L7">
    <cfRule type="expression" dxfId="3" priority="57">
      <formula>N7=0</formula>
    </cfRule>
  </conditionalFormatting>
  <conditionalFormatting sqref="M6">
    <cfRule type="expression" dxfId="2" priority="3">
      <formula>M7=0</formula>
    </cfRule>
  </conditionalFormatting>
  <conditionalFormatting sqref="G6:I6">
    <cfRule type="expression" dxfId="1" priority="2">
      <formula>G7=0</formula>
    </cfRule>
  </conditionalFormatting>
  <conditionalFormatting sqref="C9">
    <cfRule type="expression" dxfId="0" priority="1">
      <formula>$E$7=$C9</formula>
    </cfRule>
  </conditionalFormatting>
  <dataValidations count="1">
    <dataValidation type="list" allowBlank="1" showInputMessage="1" showErrorMessage="1" sqref="D4">
      <formula1>"Healthy,Disabled"</formula1>
    </dataValidation>
  </dataValidations>
  <pageMargins left="0.7" right="0.7" top="0.75" bottom="0.75" header="0.3" footer="0.3"/>
  <pageSetup paperSize="7" scale="56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Safwan Zahran</dc:creator>
  <cp:lastModifiedBy>Safwan Zahran</cp:lastModifiedBy>
  <cp:lastPrinted>2025-09-27T04:20:36Z</cp:lastPrinted>
  <dcterms:created xsi:type="dcterms:W3CDTF">2025-09-26T11:34:55Z</dcterms:created>
  <dcterms:modified xsi:type="dcterms:W3CDTF">2025-11-20T07:45:03Z</dcterms:modified>
</cp:coreProperties>
</file>